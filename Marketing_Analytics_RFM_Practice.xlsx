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hal varma\Downloads\"/>
    </mc:Choice>
  </mc:AlternateContent>
  <xr:revisionPtr revIDLastSave="0" documentId="13_ncr:1_{22D4F2F5-95AE-45AC-8D0E-099C91F063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FM_Practice" sheetId="1" r:id="rId1"/>
  </sheets>
  <definedNames>
    <definedName name="_xlnm._FilterDatabase" localSheetId="0" hidden="1">RFM_Practice!$A$1:$J$31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" i="1"/>
  <c r="J4" i="1"/>
  <c r="J5" i="1"/>
  <c r="J2" i="1"/>
  <c r="I3" i="1"/>
  <c r="I4" i="1"/>
  <c r="I5" i="1"/>
  <c r="I2" i="1"/>
  <c r="H3" i="1"/>
  <c r="H4" i="1"/>
  <c r="H5" i="1"/>
  <c r="H2" i="1"/>
  <c r="G3" i="1"/>
  <c r="G4" i="1"/>
  <c r="G5" i="1"/>
  <c r="G2" i="1"/>
  <c r="F3" i="1"/>
  <c r="F4" i="1"/>
  <c r="F5" i="1"/>
  <c r="F2" i="1"/>
  <c r="F6" i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H25" i="1"/>
  <c r="H26" i="1"/>
  <c r="H27" i="1"/>
  <c r="H28" i="1"/>
  <c r="H29" i="1"/>
  <c r="H30" i="1"/>
  <c r="H31" i="1"/>
  <c r="H6" i="1"/>
  <c r="I6" i="1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<sst xmlns="http://schemas.openxmlformats.org/spreadsheetml/2006/main" count="58" uniqueCount="57">
  <si>
    <t>Customer ID</t>
  </si>
  <si>
    <t>Last Purchase</t>
  </si>
  <si>
    <t>Frequency</t>
  </si>
  <si>
    <t>Monetary</t>
  </si>
  <si>
    <t>Recency</t>
  </si>
  <si>
    <t>R Score</t>
  </si>
  <si>
    <t>F Score</t>
  </si>
  <si>
    <t>M Score</t>
  </si>
  <si>
    <t>RFM Code</t>
  </si>
  <si>
    <t>Segment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</si>
  <si>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</si>
  <si>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</si>
  <si>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</si>
  <si>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</si>
  <si>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</si>
  <si>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</si>
  <si>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</si>
  <si>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</si>
  <si>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</si>
  <si>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</si>
  <si>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</si>
  <si>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</si>
  <si>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</si>
  <si>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</si>
  <si>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</si>
  <si>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</si>
  <si>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</si>
  <si>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</si>
  <si>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</si>
  <si>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</si>
  <si>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</si>
  <si>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</si>
  <si>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</si>
  <si>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</si>
  <si>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</si>
  <si>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</si>
  <si>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</si>
  <si>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</si>
  <si>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</si>
  <si>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</si>
  <si>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Business Interpretation &amp; Logic</t>
  </si>
  <si>
    <t>Action Plan / Marketing Strategy</t>
  </si>
  <si>
    <t>Champion</t>
  </si>
  <si>
    <t>Highest recency, frequency, and monetary score (555). Most valuable asset.</t>
  </si>
  <si>
    <t>VIP exclusive perks, early access to new launches, personalized relationship manager.</t>
  </si>
  <si>
    <t>Loyal</t>
  </si>
  <si>
    <t>High transaction frequency and steady recency. Consistent revenue drivers.</t>
  </si>
  <si>
    <t>Upsell higher tiers, cross-sell related categories, invite to loyalty reward programs.</t>
  </si>
  <si>
    <t>Potential</t>
  </si>
  <si>
    <t>Moderate recency and order value with strong upside to become loyal.</t>
  </si>
  <si>
    <t>Targeted category promotions, limited-time incentives, product recommendations.</t>
  </si>
  <si>
    <t>High historical spend/frequency but inactive for an extended period.</t>
  </si>
  <si>
    <t>Aggressive win-back campaigns, personalized discount vouchers, customer feedback surveys.</t>
  </si>
  <si>
    <t>Lowest recency and transaction activity across all measured intervals.</t>
  </si>
  <si>
    <t>Low-cost automated email re-engagement or exclude from paid ad spend to save budget.</t>
  </si>
  <si>
    <t xml:space="preserve">At risk </t>
  </si>
  <si>
    <t xml:space="preserve">Lost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</si>
</sst>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E1" workbookViewId="0">
      <pane ySplit="1" topLeftCell="A2" activePane="bottomLeft" state="frozen"/>
      <selection pane="bottomLeft" activeCell="M13" sqref="M13"/>
    </sheetView>
  </sheetViews>
  <sheetFormatPr defaultRowHeight="14.4" x14ac:dyDescent="0.3"/>
  <cols>
    <col min="1" max="1" width="15" customWidth="1"/>
    <col min="2" max="2" width="18" customWidth="1"/>
    <col min="3" max="3" width="14" customWidth="1"/>
    <col min="4" max="4" width="16" customWidth="1"/>
    <col min="5" max="5" width="13.21875" bestFit="1" customWidth="1"/>
    <col min="6" max="8" width="10" customWidth="1"/>
    <col min="9" max="9" width="12" customWidth="1"/>
    <col min="10" max="10" width="18" customWidth="1"/>
    <col min="13" max="13" width="63.5546875" bestFit="1" customWidth="1"/>
    <col min="14" max="14" width="75.21875" bestFit="1" customWidth="1"/>
    <col min="15" max="15" width="77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9</v>
      </c>
      <c r="M1" s="6" t="s">
        <v>40</v>
      </c>
      <c r="N1" s="6" t="s">
        <v>41</v>
      </c>
    </row>
    <row r="2" spans="1:14" x14ac:dyDescent="0.3">
      <c r="A2" t="s">
        <v>10</v>
      </c>
      <c r="B2" s="2">
        <v>46164</v>
      </c>
      <c r="C2">
        <v>4</v>
      </c>
      <c r="D2" s="3">
        <v>2439</v>
      </c>
      <c r="E2">
        <f>DATE(2026,8,13)-B2</f>
        <v>83</v>
      </c>
      <c r="F2">
        <f>IF(E2&lt;=_xlfn.PERCENTILE.INC($E$2:$E$51,0.2),5,IF(E2&lt;=_xlfn.PERCENTILE.INC($E$2:$E$51,0.4),4,IF(E2&lt;=_xlfn.PERCENTILE.INC($E$2:$E$51,0.6),3,IF(E2&lt;=_xlfn.PERCENTILE.INC($E$2:$E$51,0.8),2,1))))</f>
        <v>2</v>
      </c>
      <c r="G2">
        <f>IF(C2&gt;=_xlfn.PERCENTILE.INC($C$2:$C$51,0.8),5,IF(C2&gt;=_xlfn.PERCENTILE.INC($C$2:$C$51,0.6),4,IF(C2&gt;=_xlfn.PERCENTILE.INC($C$2:$C$51,0.4),3,IF(C2&gt;=_xlfn.PERCENTILE.INC($C$2:$C$51,0.2),2,1))))</f>
        <v>1</v>
      </c>
      <c r="H2">
        <f>IF(D2&gt;=_xlfn.PERCENTILE.INC($D$2:$D$51,0.8),5,IF(D2&gt;=_xlfn.PERCENTILE.INC($D$2:$D$51,0.6),4,IF(D2&gt;=_xlfn.PERCENTILE.INC($D$2:$D$51,0.4),3,IF(D2&gt;=_xlfn.PERCENTILE.INC($D$2:$D$51,0.2),2,1))))</f>
        <v>1</v>
      </c>
      <c r="I2" t="str">
        <f>F2&amp;G2&amp;H2</f>
        <v>211</v>
      </c>
      <c r="J2" t="str">
        <f>IF(I2="555","Champions",IF(F2&gt;=4,"Loyal",IF(F2&gt;=3,"Potential",IF(F2=2,"At Risk","Lost"))))</f>
        <v>At Risk</v>
      </c>
      <c r="L2" s="4" t="s">
        <v>42</v>
      </c>
      <c r="M2" s="4" t="s">
        <v>43</v>
      </c>
      <c r="N2" s="4" t="s">
        <v>44</v>
      </c>
    </row>
    <row r="3" spans="1:14" x14ac:dyDescent="0.3">
      <c r="A3" t="s">
        <v>11</v>
      </c>
      <c r="B3" s="2">
        <v>46151</v>
      </c>
      <c r="C3">
        <v>9</v>
      </c>
      <c r="D3" s="3">
        <v>16849</v>
      </c>
      <c r="E3">
        <f t="shared" ref="E3:E31" si="0">DATE(2026,8,13)-B3</f>
        <v>96</v>
      </c>
      <c r="F3">
        <f t="shared" ref="F3:F5" si="1">IF(E3&lt;=_xlfn.PERCENTILE.INC($E$2:$E$51,0.2),5,IF(E3&lt;=_xlfn.PERCENTILE.INC($E$2:$E$51,0.4),4,IF(E3&lt;=_xlfn.PERCENTILE.INC($E$2:$E$51,0.6),3,IF(E3&lt;=_xlfn.PERCENTILE.INC($E$2:$E$51,0.8),2,1))))</f>
        <v>1</v>
      </c>
      <c r="G3">
        <f t="shared" ref="G3:G5" si="2">IF(C3&gt;=_xlfn.PERCENTILE.INC($C$2:$C$51,0.8),5,IF(C3&gt;=_xlfn.PERCENTILE.INC($C$2:$C$51,0.6),4,IF(C3&gt;=_xlfn.PERCENTILE.INC($C$2:$C$51,0.4),3,IF(C3&gt;=_xlfn.PERCENTILE.INC($C$2:$C$51,0.2),2,1))))</f>
        <v>3</v>
      </c>
      <c r="H3">
        <f t="shared" ref="H3:H5" si="3">IF(D3&gt;=_xlfn.PERCENTILE.INC($D$2:$D$51,0.8),5,IF(D3&gt;=_xlfn.PERCENTILE.INC($D$2:$D$51,0.6),4,IF(D3&gt;=_xlfn.PERCENTILE.INC($D$2:$D$51,0.4),3,IF(D3&gt;=_xlfn.PERCENTILE.INC($D$2:$D$51,0.2),2,1))))</f>
        <v>3</v>
      </c>
      <c r="I3" t="str">
        <f t="shared" ref="I3:I5" si="4">F3&amp;G3&amp;H3</f>
        <v>133</v>
      </c>
      <c r="J3" t="str">
        <f t="shared" ref="J3:J31" si="5">IF(I3="555","Champions",IF(F3&gt;=4,"Loyal",IF(F3&gt;=3,"Potential",IF(F3=2,"At Risk","Lost"))))</f>
        <v>Lost</v>
      </c>
      <c r="L3" s="4" t="s">
        <v>45</v>
      </c>
      <c r="M3" s="4" t="s">
        <v>46</v>
      </c>
      <c r="N3" s="4" t="s">
        <v>47</v>
      </c>
    </row>
    <row r="4" spans="1:14" x14ac:dyDescent="0.3">
      <c r="A4" t="s">
        <v>12</v>
      </c>
      <c r="B4" s="2">
        <v>46217</v>
      </c>
      <c r="C4">
        <v>5</v>
      </c>
      <c r="D4" s="3">
        <v>7517</v>
      </c>
      <c r="E4">
        <f t="shared" si="0"/>
        <v>30</v>
      </c>
      <c r="F4">
        <f t="shared" si="1"/>
        <v>4</v>
      </c>
      <c r="G4">
        <f t="shared" si="2"/>
        <v>2</v>
      </c>
      <c r="H4">
        <f t="shared" si="3"/>
        <v>2</v>
      </c>
      <c r="I4" t="str">
        <f t="shared" si="4"/>
        <v>422</v>
      </c>
      <c r="J4" t="str">
        <f t="shared" si="5"/>
        <v>Loyal</v>
      </c>
      <c r="L4" s="4" t="s">
        <v>48</v>
      </c>
      <c r="M4" s="4" t="s">
        <v>49</v>
      </c>
      <c r="N4" s="4" t="s">
        <v>50</v>
      </c>
    </row>
    <row r="5" spans="1:14" x14ac:dyDescent="0.3">
      <c r="A5" t="s">
        <v>13</v>
      </c>
      <c r="B5" s="2">
        <v>46159</v>
      </c>
      <c r="C5">
        <v>24</v>
      </c>
      <c r="D5" s="3">
        <v>36541</v>
      </c>
      <c r="E5">
        <f t="shared" si="0"/>
        <v>88</v>
      </c>
      <c r="F5">
        <f t="shared" si="1"/>
        <v>2</v>
      </c>
      <c r="G5">
        <f t="shared" si="2"/>
        <v>5</v>
      </c>
      <c r="H5">
        <f t="shared" si="3"/>
        <v>4</v>
      </c>
      <c r="I5" t="str">
        <f t="shared" si="4"/>
        <v>254</v>
      </c>
      <c r="J5" t="str">
        <f t="shared" si="5"/>
        <v>At Risk</v>
      </c>
      <c r="L5" s="4" t="s">
        <v>55</v>
      </c>
      <c r="M5" s="4" t="s">
        <v>51</v>
      </c>
      <c r="N5" s="4" t="s">
        <v>52</v>
      </c>
    </row>
    <row r="6" spans="1:14" x14ac:dyDescent="0.3">
      <c r="A6" t="s">
        <v>14</v>
      </c>
      <c r="B6" s="2">
        <v>46234</v>
      </c>
      <c r="C6">
        <v>19</v>
      </c>
      <c r="D6" s="3">
        <v>28451</v>
      </c>
      <c r="E6">
        <f t="shared" si="0"/>
        <v>13</v>
      </c>
      <c r="F6">
        <f>IF(E2&lt;=_xlfn.PERCENTILE.INC($E$2:$E$51,0.2),5,IF(E2&lt;=_xlfn.PERCENTILE.INC($E$2:$E$51,0.4),4,IF(E2&lt;=_xlfn.PERCENTILE.INC($E$2:$E$51,0.6),3,IF(E2&lt;=_xlfn.PERCENTILE.INC($E$2:$E$51,0.8),2,1))))</f>
        <v>2</v>
      </c>
      <c r="G6">
        <f>IF(C2&gt;=_xlfn.PERCENTILE.INC($C$2:$C$51,0.8),5,IF(C2&gt;=_xlfn.PERCENTILE.INC($C$2:$C$51,0.6),4,IF(C2&gt;=_xlfn.PERCENTILE.INC($C$2:$C$51,0.4),3,IF(C2&gt;=_xlfn.PERCENTILE.INC($C$2:$C$51,0.2),2,1))))</f>
        <v>1</v>
      </c>
      <c r="H6">
        <f>IF(D2&gt;=_xlfn.PERCENTILE.INC($D$2:$D$51,0.8),5,IF(D2&gt;=_xlfn.PERCENTILE.INC($D$2:$D$51,0.6),4,IF(D2&gt;=_xlfn.PERCENTILE.INC($D$2:$D$51,0.4),3,IF(D2&gt;=_xlfn.PERCENTILE.INC($D$2:$D$51,0.2),2,1))))</f>
        <v>1</v>
      </c>
      <c r="I6" t="str">
        <f>F6&amp;G6&amp;H6</f>
        <v>211</v>
      </c>
      <c r="J6" t="str">
        <f t="shared" si="5"/>
        <v>At Risk</v>
      </c>
      <c r="L6" s="4" t="s">
        <v>56</v>
      </c>
      <c r="M6" s="4" t="s">
        <v>53</v>
      </c>
      <c r="N6" s="4" t="s">
        <v>54</v>
      </c>
    </row>
    <row r="7" spans="1:14" x14ac:dyDescent="0.3">
      <c r="A7" t="s">
        <v>15</v>
      </c>
      <c r="B7" s="2">
        <v>46241</v>
      </c>
      <c r="C7">
        <v>1</v>
      </c>
      <c r="D7" s="3">
        <v>6940</v>
      </c>
      <c r="E7">
        <f t="shared" si="0"/>
        <v>6</v>
      </c>
      <c r="F7">
        <f t="shared" ref="F7:F31" si="6">IF(E3&lt;=_xlfn.PERCENTILE.INC($E$2:$E$51,0.2),5,IF(E3&lt;=_xlfn.PERCENTILE.INC($E$2:$E$51,0.4),4,IF(E3&lt;=_xlfn.PERCENTILE.INC($E$2:$E$51,0.6),3,IF(E3&lt;=_xlfn.PERCENTILE.INC($E$2:$E$51,0.8),2,1))))</f>
        <v>1</v>
      </c>
      <c r="G7">
        <f t="shared" ref="G7:G31" si="7">IF(C3&gt;=_xlfn.PERCENTILE.INC($C$2:$C$51,0.8),5,IF(C3&gt;=_xlfn.PERCENTILE.INC($C$2:$C$51,0.6),4,IF(C3&gt;=_xlfn.PERCENTILE.INC($C$2:$C$51,0.4),3,IF(C3&gt;=_xlfn.PERCENTILE.INC($C$2:$C$51,0.2),2,1))))</f>
        <v>3</v>
      </c>
      <c r="H7">
        <f t="shared" ref="H7:H31" si="8">IF(D3&gt;=_xlfn.PERCENTILE.INC($D$2:$D$51,0.8),5,IF(D3&gt;=_xlfn.PERCENTILE.INC($D$2:$D$51,0.6),4,IF(D3&gt;=_xlfn.PERCENTILE.INC($D$2:$D$51,0.4),3,IF(D3&gt;=_xlfn.PERCENTILE.INC($D$2:$D$51,0.2),2,1))))</f>
        <v>3</v>
      </c>
      <c r="I7" t="str">
        <f t="shared" ref="I7:I31" si="9">F7&amp;G7&amp;H7</f>
        <v>133</v>
      </c>
      <c r="J7" t="str">
        <f t="shared" si="5"/>
        <v>Lost</v>
      </c>
    </row>
    <row r="8" spans="1:14" x14ac:dyDescent="0.3">
      <c r="A8" t="s">
        <v>16</v>
      </c>
      <c r="B8" s="2">
        <v>46218</v>
      </c>
      <c r="C8">
        <v>8</v>
      </c>
      <c r="D8" s="3">
        <v>33918</v>
      </c>
      <c r="E8">
        <f t="shared" si="0"/>
        <v>29</v>
      </c>
      <c r="F8">
        <f t="shared" si="6"/>
        <v>4</v>
      </c>
      <c r="G8">
        <f t="shared" si="7"/>
        <v>2</v>
      </c>
      <c r="H8">
        <f t="shared" si="8"/>
        <v>2</v>
      </c>
      <c r="I8" t="str">
        <f t="shared" si="9"/>
        <v>422</v>
      </c>
      <c r="J8" t="str">
        <f t="shared" si="5"/>
        <v>Loyal</v>
      </c>
    </row>
    <row r="9" spans="1:14" x14ac:dyDescent="0.3">
      <c r="A9" t="s">
        <v>17</v>
      </c>
      <c r="B9" s="2">
        <v>46168</v>
      </c>
      <c r="C9">
        <v>1</v>
      </c>
      <c r="D9" s="3">
        <v>37581</v>
      </c>
      <c r="E9">
        <f t="shared" si="0"/>
        <v>79</v>
      </c>
      <c r="F9">
        <f t="shared" si="6"/>
        <v>2</v>
      </c>
      <c r="G9">
        <f t="shared" si="7"/>
        <v>5</v>
      </c>
      <c r="H9">
        <f t="shared" si="8"/>
        <v>4</v>
      </c>
      <c r="I9" t="str">
        <f t="shared" si="9"/>
        <v>254</v>
      </c>
      <c r="J9" t="str">
        <f t="shared" si="5"/>
        <v>At Risk</v>
      </c>
    </row>
    <row r="10" spans="1:14" x14ac:dyDescent="0.3">
      <c r="A10" t="s">
        <v>18</v>
      </c>
      <c r="B10" s="2">
        <v>46220</v>
      </c>
      <c r="C10">
        <v>23</v>
      </c>
      <c r="D10" s="3">
        <v>43390</v>
      </c>
      <c r="E10">
        <f t="shared" si="0"/>
        <v>27</v>
      </c>
      <c r="F10">
        <f t="shared" si="6"/>
        <v>5</v>
      </c>
      <c r="G10">
        <f t="shared" si="7"/>
        <v>5</v>
      </c>
      <c r="H10">
        <f t="shared" si="8"/>
        <v>4</v>
      </c>
      <c r="I10" t="str">
        <f t="shared" si="9"/>
        <v>554</v>
      </c>
      <c r="J10" t="str">
        <f t="shared" si="5"/>
        <v>Loyal</v>
      </c>
    </row>
    <row r="11" spans="1:14" x14ac:dyDescent="0.3">
      <c r="A11" t="s">
        <v>19</v>
      </c>
      <c r="B11" s="2">
        <v>46156</v>
      </c>
      <c r="C11">
        <v>18</v>
      </c>
      <c r="D11" s="3">
        <v>28293</v>
      </c>
      <c r="E11">
        <f t="shared" si="0"/>
        <v>91</v>
      </c>
      <c r="F11">
        <f t="shared" si="6"/>
        <v>5</v>
      </c>
      <c r="G11">
        <f t="shared" si="7"/>
        <v>1</v>
      </c>
      <c r="H11">
        <f t="shared" si="8"/>
        <v>1</v>
      </c>
      <c r="I11" t="str">
        <f t="shared" si="9"/>
        <v>511</v>
      </c>
      <c r="J11" t="str">
        <f t="shared" si="5"/>
        <v>Loyal</v>
      </c>
    </row>
    <row r="12" spans="1:14" x14ac:dyDescent="0.3">
      <c r="A12" t="s">
        <v>20</v>
      </c>
      <c r="B12" s="2">
        <v>46217</v>
      </c>
      <c r="C12">
        <v>15</v>
      </c>
      <c r="D12" s="3">
        <v>39418</v>
      </c>
      <c r="E12">
        <f t="shared" si="0"/>
        <v>30</v>
      </c>
      <c r="F12">
        <f t="shared" si="6"/>
        <v>4</v>
      </c>
      <c r="G12">
        <f t="shared" si="7"/>
        <v>2</v>
      </c>
      <c r="H12">
        <f t="shared" si="8"/>
        <v>4</v>
      </c>
      <c r="I12" t="str">
        <f t="shared" si="9"/>
        <v>424</v>
      </c>
      <c r="J12" t="str">
        <f t="shared" si="5"/>
        <v>Loyal</v>
      </c>
    </row>
    <row r="13" spans="1:14" x14ac:dyDescent="0.3">
      <c r="A13" t="s">
        <v>21</v>
      </c>
      <c r="B13" s="2">
        <v>46210</v>
      </c>
      <c r="C13">
        <v>1</v>
      </c>
      <c r="D13" s="3">
        <v>11263</v>
      </c>
      <c r="E13">
        <f t="shared" si="0"/>
        <v>37</v>
      </c>
      <c r="F13">
        <f t="shared" si="6"/>
        <v>3</v>
      </c>
      <c r="G13">
        <f t="shared" si="7"/>
        <v>1</v>
      </c>
      <c r="H13">
        <f t="shared" si="8"/>
        <v>4</v>
      </c>
      <c r="I13" t="str">
        <f t="shared" si="9"/>
        <v>314</v>
      </c>
      <c r="J13" t="str">
        <f t="shared" si="5"/>
        <v>Potential</v>
      </c>
    </row>
    <row r="14" spans="1:14" x14ac:dyDescent="0.3">
      <c r="A14" t="s">
        <v>22</v>
      </c>
      <c r="B14" s="2">
        <v>46156</v>
      </c>
      <c r="C14">
        <v>14</v>
      </c>
      <c r="D14" s="3">
        <v>23098</v>
      </c>
      <c r="E14">
        <f t="shared" si="0"/>
        <v>91</v>
      </c>
      <c r="F14">
        <f t="shared" si="6"/>
        <v>4</v>
      </c>
      <c r="G14">
        <f t="shared" si="7"/>
        <v>5</v>
      </c>
      <c r="H14">
        <f t="shared" si="8"/>
        <v>5</v>
      </c>
      <c r="I14" t="str">
        <f t="shared" si="9"/>
        <v>455</v>
      </c>
      <c r="J14" t="str">
        <f t="shared" si="5"/>
        <v>Loyal</v>
      </c>
    </row>
    <row r="15" spans="1:14" x14ac:dyDescent="0.3">
      <c r="A15" t="s">
        <v>23</v>
      </c>
      <c r="B15" s="2">
        <v>46210</v>
      </c>
      <c r="C15">
        <v>5</v>
      </c>
      <c r="D15" s="3">
        <v>14910</v>
      </c>
      <c r="E15">
        <f t="shared" si="0"/>
        <v>37</v>
      </c>
      <c r="F15">
        <f t="shared" si="6"/>
        <v>2</v>
      </c>
      <c r="G15">
        <f t="shared" si="7"/>
        <v>4</v>
      </c>
      <c r="H15">
        <f t="shared" si="8"/>
        <v>3</v>
      </c>
      <c r="I15" t="str">
        <f t="shared" si="9"/>
        <v>243</v>
      </c>
      <c r="J15" t="str">
        <f t="shared" si="5"/>
        <v>At Risk</v>
      </c>
    </row>
    <row r="16" spans="1:14" x14ac:dyDescent="0.3">
      <c r="A16" t="s">
        <v>24</v>
      </c>
      <c r="B16" s="2">
        <v>46148</v>
      </c>
      <c r="C16">
        <v>11</v>
      </c>
      <c r="D16" s="3">
        <v>7498</v>
      </c>
      <c r="E16">
        <f t="shared" si="0"/>
        <v>99</v>
      </c>
      <c r="F16">
        <f t="shared" si="6"/>
        <v>4</v>
      </c>
      <c r="G16">
        <f t="shared" si="7"/>
        <v>4</v>
      </c>
      <c r="H16">
        <f t="shared" si="8"/>
        <v>5</v>
      </c>
      <c r="I16" t="str">
        <f t="shared" si="9"/>
        <v>445</v>
      </c>
      <c r="J16" t="str">
        <f t="shared" si="5"/>
        <v>Loyal</v>
      </c>
    </row>
    <row r="17" spans="1:10" x14ac:dyDescent="0.3">
      <c r="A17" t="s">
        <v>25</v>
      </c>
      <c r="B17" s="2">
        <v>46234</v>
      </c>
      <c r="C17">
        <v>13</v>
      </c>
      <c r="D17" s="3">
        <v>7138</v>
      </c>
      <c r="E17">
        <f t="shared" si="0"/>
        <v>13</v>
      </c>
      <c r="F17">
        <f t="shared" si="6"/>
        <v>4</v>
      </c>
      <c r="G17">
        <f t="shared" si="7"/>
        <v>1</v>
      </c>
      <c r="H17">
        <f t="shared" si="8"/>
        <v>2</v>
      </c>
      <c r="I17" t="str">
        <f t="shared" si="9"/>
        <v>412</v>
      </c>
      <c r="J17" t="str">
        <f t="shared" si="5"/>
        <v>Loyal</v>
      </c>
    </row>
    <row r="18" spans="1:10" x14ac:dyDescent="0.3">
      <c r="A18" t="s">
        <v>26</v>
      </c>
      <c r="B18" s="2">
        <v>46200</v>
      </c>
      <c r="C18">
        <v>12</v>
      </c>
      <c r="D18" s="3">
        <v>40365</v>
      </c>
      <c r="E18">
        <f t="shared" si="0"/>
        <v>47</v>
      </c>
      <c r="F18">
        <f t="shared" si="6"/>
        <v>2</v>
      </c>
      <c r="G18">
        <f t="shared" si="7"/>
        <v>4</v>
      </c>
      <c r="H18">
        <f t="shared" si="8"/>
        <v>3</v>
      </c>
      <c r="I18" t="str">
        <f t="shared" si="9"/>
        <v>243</v>
      </c>
      <c r="J18" t="str">
        <f t="shared" si="5"/>
        <v>At Risk</v>
      </c>
    </row>
    <row r="19" spans="1:10" x14ac:dyDescent="0.3">
      <c r="A19" t="s">
        <v>27</v>
      </c>
      <c r="B19" s="2">
        <v>46212</v>
      </c>
      <c r="C19">
        <v>2</v>
      </c>
      <c r="D19" s="3">
        <v>30908</v>
      </c>
      <c r="E19">
        <f t="shared" si="0"/>
        <v>35</v>
      </c>
      <c r="F19">
        <f t="shared" si="6"/>
        <v>4</v>
      </c>
      <c r="G19">
        <f t="shared" si="7"/>
        <v>2</v>
      </c>
      <c r="H19">
        <f t="shared" si="8"/>
        <v>2</v>
      </c>
      <c r="I19" t="str">
        <f t="shared" si="9"/>
        <v>422</v>
      </c>
      <c r="J19" t="str">
        <f t="shared" si="5"/>
        <v>Loyal</v>
      </c>
    </row>
    <row r="20" spans="1:10" x14ac:dyDescent="0.3">
      <c r="A20" t="s">
        <v>28</v>
      </c>
      <c r="B20" s="2">
        <v>46177</v>
      </c>
      <c r="C20">
        <v>4</v>
      </c>
      <c r="D20" s="3">
        <v>25607</v>
      </c>
      <c r="E20">
        <f t="shared" si="0"/>
        <v>70</v>
      </c>
      <c r="F20">
        <f t="shared" si="6"/>
        <v>1</v>
      </c>
      <c r="G20">
        <f t="shared" si="7"/>
        <v>3</v>
      </c>
      <c r="H20">
        <f t="shared" si="8"/>
        <v>2</v>
      </c>
      <c r="I20" t="str">
        <f t="shared" si="9"/>
        <v>132</v>
      </c>
      <c r="J20" t="str">
        <f t="shared" si="5"/>
        <v>Lost</v>
      </c>
    </row>
    <row r="21" spans="1:10" x14ac:dyDescent="0.3">
      <c r="A21" t="s">
        <v>29</v>
      </c>
      <c r="B21" s="2">
        <v>46235</v>
      </c>
      <c r="C21">
        <v>18</v>
      </c>
      <c r="D21" s="3">
        <v>20013</v>
      </c>
      <c r="E21">
        <f t="shared" si="0"/>
        <v>12</v>
      </c>
      <c r="F21">
        <f t="shared" si="6"/>
        <v>5</v>
      </c>
      <c r="G21">
        <f t="shared" si="7"/>
        <v>4</v>
      </c>
      <c r="H21">
        <f t="shared" si="8"/>
        <v>1</v>
      </c>
      <c r="I21" t="str">
        <f t="shared" si="9"/>
        <v>541</v>
      </c>
      <c r="J21" t="str">
        <f t="shared" si="5"/>
        <v>Loyal</v>
      </c>
    </row>
    <row r="22" spans="1:10" x14ac:dyDescent="0.3">
      <c r="A22" t="s">
        <v>30</v>
      </c>
      <c r="B22" s="2">
        <v>46139</v>
      </c>
      <c r="C22">
        <v>21</v>
      </c>
      <c r="D22" s="3">
        <v>41335</v>
      </c>
      <c r="E22">
        <f t="shared" si="0"/>
        <v>108</v>
      </c>
      <c r="F22">
        <f t="shared" si="6"/>
        <v>3</v>
      </c>
      <c r="G22">
        <f t="shared" si="7"/>
        <v>4</v>
      </c>
      <c r="H22">
        <f t="shared" si="8"/>
        <v>5</v>
      </c>
      <c r="I22" t="str">
        <f t="shared" si="9"/>
        <v>345</v>
      </c>
      <c r="J22" t="str">
        <f t="shared" si="5"/>
        <v>Potential</v>
      </c>
    </row>
    <row r="23" spans="1:10" x14ac:dyDescent="0.3">
      <c r="A23" t="s">
        <v>31</v>
      </c>
      <c r="B23" s="2">
        <v>46132</v>
      </c>
      <c r="C23">
        <v>12</v>
      </c>
      <c r="D23" s="3">
        <v>38637</v>
      </c>
      <c r="E23">
        <f t="shared" si="0"/>
        <v>115</v>
      </c>
      <c r="F23">
        <f t="shared" si="6"/>
        <v>4</v>
      </c>
      <c r="G23">
        <f t="shared" si="7"/>
        <v>1</v>
      </c>
      <c r="H23">
        <f t="shared" si="8"/>
        <v>4</v>
      </c>
      <c r="I23" t="str">
        <f t="shared" si="9"/>
        <v>414</v>
      </c>
      <c r="J23" t="str">
        <f t="shared" si="5"/>
        <v>Loyal</v>
      </c>
    </row>
    <row r="24" spans="1:10" x14ac:dyDescent="0.3">
      <c r="A24" t="s">
        <v>32</v>
      </c>
      <c r="B24" s="2">
        <v>46221</v>
      </c>
      <c r="C24">
        <v>23</v>
      </c>
      <c r="D24" s="3">
        <v>5358</v>
      </c>
      <c r="E24">
        <f t="shared" si="0"/>
        <v>26</v>
      </c>
      <c r="F24">
        <f t="shared" si="6"/>
        <v>3</v>
      </c>
      <c r="G24">
        <f t="shared" si="7"/>
        <v>1</v>
      </c>
      <c r="H24">
        <f t="shared" si="8"/>
        <v>3</v>
      </c>
      <c r="I24" t="str">
        <f t="shared" si="9"/>
        <v>313</v>
      </c>
      <c r="J24" t="str">
        <f t="shared" si="5"/>
        <v>Potential</v>
      </c>
    </row>
    <row r="25" spans="1:10" x14ac:dyDescent="0.3">
      <c r="A25" t="s">
        <v>33</v>
      </c>
      <c r="B25" s="2">
        <v>46240</v>
      </c>
      <c r="C25">
        <v>22</v>
      </c>
      <c r="D25" s="3">
        <v>15735</v>
      </c>
      <c r="E25">
        <f t="shared" si="0"/>
        <v>7</v>
      </c>
      <c r="F25">
        <f t="shared" si="6"/>
        <v>5</v>
      </c>
      <c r="G25">
        <f t="shared" si="7"/>
        <v>4</v>
      </c>
      <c r="H25">
        <f t="shared" si="8"/>
        <v>3</v>
      </c>
      <c r="I25" t="str">
        <f t="shared" si="9"/>
        <v>543</v>
      </c>
      <c r="J25" t="str">
        <f t="shared" si="5"/>
        <v>Loyal</v>
      </c>
    </row>
    <row r="26" spans="1:10" x14ac:dyDescent="0.3">
      <c r="A26" t="s">
        <v>34</v>
      </c>
      <c r="B26" s="2">
        <v>46147</v>
      </c>
      <c r="C26">
        <v>10</v>
      </c>
      <c r="D26" s="3">
        <v>6029</v>
      </c>
      <c r="E26">
        <f t="shared" si="0"/>
        <v>100</v>
      </c>
      <c r="F26">
        <f t="shared" si="6"/>
        <v>1</v>
      </c>
      <c r="G26">
        <f t="shared" si="7"/>
        <v>5</v>
      </c>
      <c r="H26">
        <f t="shared" si="8"/>
        <v>5</v>
      </c>
      <c r="I26" t="str">
        <f t="shared" si="9"/>
        <v>155</v>
      </c>
      <c r="J26" t="str">
        <f t="shared" si="5"/>
        <v>Lost</v>
      </c>
    </row>
    <row r="27" spans="1:10" x14ac:dyDescent="0.3">
      <c r="A27" t="s">
        <v>35</v>
      </c>
      <c r="B27" s="2">
        <v>46136</v>
      </c>
      <c r="C27">
        <v>8</v>
      </c>
      <c r="D27" s="3">
        <v>7419</v>
      </c>
      <c r="E27">
        <f t="shared" si="0"/>
        <v>111</v>
      </c>
      <c r="F27">
        <f t="shared" si="6"/>
        <v>1</v>
      </c>
      <c r="G27">
        <f t="shared" si="7"/>
        <v>4</v>
      </c>
      <c r="H27">
        <f t="shared" si="8"/>
        <v>5</v>
      </c>
      <c r="I27" t="str">
        <f t="shared" si="9"/>
        <v>145</v>
      </c>
      <c r="J27" t="str">
        <f t="shared" si="5"/>
        <v>Lost</v>
      </c>
    </row>
    <row r="28" spans="1:10" x14ac:dyDescent="0.3">
      <c r="A28" t="s">
        <v>36</v>
      </c>
      <c r="B28" s="2">
        <v>46197</v>
      </c>
      <c r="C28">
        <v>9</v>
      </c>
      <c r="D28" s="3">
        <v>30514</v>
      </c>
      <c r="E28">
        <f t="shared" si="0"/>
        <v>50</v>
      </c>
      <c r="F28">
        <f t="shared" si="6"/>
        <v>5</v>
      </c>
      <c r="G28">
        <f t="shared" si="7"/>
        <v>5</v>
      </c>
      <c r="H28">
        <f t="shared" si="8"/>
        <v>1</v>
      </c>
      <c r="I28" t="str">
        <f t="shared" si="9"/>
        <v>551</v>
      </c>
      <c r="J28" t="str">
        <f t="shared" si="5"/>
        <v>Loyal</v>
      </c>
    </row>
    <row r="29" spans="1:10" x14ac:dyDescent="0.3">
      <c r="A29" t="s">
        <v>37</v>
      </c>
      <c r="B29" s="2">
        <v>46164</v>
      </c>
      <c r="C29">
        <v>12</v>
      </c>
      <c r="D29" s="3">
        <v>11459</v>
      </c>
      <c r="E29">
        <f t="shared" si="0"/>
        <v>83</v>
      </c>
      <c r="F29">
        <f t="shared" si="6"/>
        <v>5</v>
      </c>
      <c r="G29">
        <f t="shared" si="7"/>
        <v>5</v>
      </c>
      <c r="H29">
        <f t="shared" si="8"/>
        <v>3</v>
      </c>
      <c r="I29" t="str">
        <f t="shared" si="9"/>
        <v>553</v>
      </c>
      <c r="J29" t="str">
        <f t="shared" si="5"/>
        <v>Loyal</v>
      </c>
    </row>
    <row r="30" spans="1:10" x14ac:dyDescent="0.3">
      <c r="A30" t="s">
        <v>38</v>
      </c>
      <c r="B30" s="2">
        <v>46198</v>
      </c>
      <c r="C30">
        <v>12</v>
      </c>
      <c r="D30" s="3">
        <v>14530</v>
      </c>
      <c r="E30">
        <f t="shared" si="0"/>
        <v>49</v>
      </c>
      <c r="F30">
        <f t="shared" si="6"/>
        <v>1</v>
      </c>
      <c r="G30">
        <f t="shared" si="7"/>
        <v>3</v>
      </c>
      <c r="H30">
        <f t="shared" si="8"/>
        <v>1</v>
      </c>
      <c r="I30" t="str">
        <f t="shared" si="9"/>
        <v>131</v>
      </c>
      <c r="J30" t="str">
        <f t="shared" si="5"/>
        <v>Lost</v>
      </c>
    </row>
    <row r="31" spans="1:10" x14ac:dyDescent="0.3">
      <c r="A31" t="s">
        <v>39</v>
      </c>
      <c r="B31" s="2">
        <v>46160</v>
      </c>
      <c r="C31">
        <v>9</v>
      </c>
      <c r="D31" s="3">
        <v>43269</v>
      </c>
      <c r="E31">
        <f t="shared" si="0"/>
        <v>87</v>
      </c>
      <c r="F31">
        <f t="shared" si="6"/>
        <v>1</v>
      </c>
      <c r="G31">
        <f t="shared" si="7"/>
        <v>2</v>
      </c>
      <c r="H31">
        <f t="shared" si="8"/>
        <v>1</v>
      </c>
      <c r="I31" t="str">
        <f t="shared" si="9"/>
        <v>121</v>
      </c>
      <c r="J31" t="str">
        <f t="shared" si="5"/>
        <v>Lost</v>
      </c>
    </row>
  </sheetData>
  <autoFilter ref="A1:J31" xr:uid="{00000000-0009-0000-0000-000000000000}"/>
  <conditionalFormatting sqref="J2:J31">
    <cfRule type="containsText" dxfId="0" priority="4" operator="containsText" text="Lost">
      <formula>NOT(ISERROR(SEARCH("Lost",J2)))</formula>
    </cfRule>
    <cfRule type="containsText" dxfId="1" priority="3" operator="containsText" text="At Risk">
      <formula>NOT(ISERROR(SEARCH("At Risk",J2)))</formula>
    </cfRule>
    <cfRule type="containsText" dxfId="2" priority="2" operator="containsText" text="Potential">
      <formula>NOT(ISERROR(SEARCH("Potential",J2)))</formula>
    </cfRule>
    <cfRule type="containsText" dxfId="3" priority="1" operator="containsText" text="Loyal">
      <formula>NOT(ISERROR(SEARCH("Loyal",J2)))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nihal varma</cp:lastModifiedBy>
  <dcterms:created xsi:type="dcterms:W3CDTF">2026-08-13T14:30:26Z</dcterms:created>
  <dcterms:modified xsi:type="dcterms:W3CDTF">2026-08-27T14:17:18Z</dcterms:modified>
</cp:coreProperties>
</file>